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e_Assumptions" sheetId="1" state="visible" r:id="rId1"/>
    <sheet name="Growth_Pricing" sheetId="2" state="visible" r:id="rId2"/>
    <sheet name="COGS" sheetId="3" state="visible" r:id="rId3"/>
    <sheet name="Hiring" sheetId="4" state="visible" r:id="rId4"/>
    <sheet name="Opex" sheetId="5" state="visible" r:id="rId5"/>
    <sheet name="Financials" sheetId="6" state="visible" r:id="rId6"/>
    <sheet name="CAC_Payback" sheetId="7" state="visible" r:id="rId7"/>
    <sheet name="SmartHelping_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70" customWidth="1" min="3" max="3"/>
  </cols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Justification</t>
        </is>
      </c>
    </row>
    <row r="2">
      <c r="A2" t="inlineStr">
        <is>
          <t>Currency</t>
        </is>
      </c>
      <c r="B2" t="inlineStr">
        <is>
          <t>CAD</t>
        </is>
      </c>
      <c r="C2" t="inlineStr">
        <is>
          <t>Model in Canadian dollars</t>
        </is>
      </c>
    </row>
    <row r="3">
      <c r="A3" t="inlineStr">
        <is>
          <t>Monthly ARPU Y1-Y5</t>
        </is>
      </c>
      <c r="B3" t="inlineStr">
        <is>
          <t>244,259,274,287,299</t>
        </is>
      </c>
      <c r="C3" t="inlineStr">
        <is>
          <t>Plan mix shifts toward Professional and Enterprise</t>
        </is>
      </c>
    </row>
    <row r="4">
      <c r="A4" t="inlineStr">
        <is>
          <t>Monthly churn Y1-Y5</t>
        </is>
      </c>
      <c r="B4" t="inlineStr">
        <is>
          <t>1.8%,1.6%,1.4%,1.4%,1.4%</t>
        </is>
      </c>
      <c r="C4" t="inlineStr">
        <is>
          <t>Retention improves with workflow embedding</t>
        </is>
      </c>
    </row>
    <row r="5">
      <c r="A5" t="inlineStr">
        <is>
          <t>Avg providers per clinic</t>
        </is>
      </c>
      <c r="B5" s="2" t="n">
        <v>4.2</v>
      </c>
      <c r="C5" t="inlineStr">
        <is>
          <t>Small-medium outpatient clinic target</t>
        </is>
      </c>
    </row>
    <row r="6">
      <c r="A6" t="inlineStr">
        <is>
          <t>COGS per provider per month</t>
        </is>
      </c>
      <c r="B6" s="2" t="n">
        <v>54</v>
      </c>
      <c r="C6" t="inlineStr">
        <is>
          <t>Inference + hosting + storage + support + fees</t>
        </is>
      </c>
    </row>
    <row r="7">
      <c r="A7" t="inlineStr">
        <is>
          <t>Implementation fee per new clinic Y1-Y5</t>
        </is>
      </c>
      <c r="B7" t="inlineStr">
        <is>
          <t>1500,1500,2000,2000,2000</t>
        </is>
      </c>
      <c r="C7" t="inlineStr">
        <is>
          <t>Onboarding and training</t>
        </is>
      </c>
    </row>
    <row r="8">
      <c r="A8" t="inlineStr">
        <is>
          <t>Capex Y1-Y5</t>
        </is>
      </c>
      <c r="B8" t="inlineStr">
        <is>
          <t>180000,220000,280000,350000,420000</t>
        </is>
      </c>
      <c r="C8" t="inlineStr">
        <is>
          <t>Security and platform scaling</t>
        </is>
      </c>
    </row>
    <row r="9">
      <c r="A9" t="inlineStr">
        <is>
          <t>Initial cash</t>
        </is>
      </c>
      <c r="B9" s="2" t="n">
        <v>200000</v>
      </c>
      <c r="C9" t="inlineStr">
        <is>
          <t>Founder and pre-seed cash</t>
        </is>
      </c>
    </row>
    <row r="10">
      <c r="A10" t="inlineStr">
        <is>
          <t>Financing Y1-Y5</t>
        </is>
      </c>
      <c r="B10" t="inlineStr">
        <is>
          <t>1500000,1800000,2000000,0,0</t>
        </is>
      </c>
      <c r="C10" t="inlineStr">
        <is>
          <t>Fundraise plan to break-even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2" customWidth="1" min="11" max="11"/>
    <col width="14" customWidth="1" min="12" max="12"/>
    <col width="10" customWidth="1" min="13" max="13"/>
    <col width="13" customWidth="1" min="14" max="14"/>
    <col width="13" customWidth="1" min="15" max="15"/>
  </cols>
  <sheetData>
    <row r="1">
      <c r="A1" s="1" t="inlineStr">
        <is>
          <t>Year</t>
        </is>
      </c>
      <c r="B1" s="1" t="inlineStr">
        <is>
          <t>Clinics_EOY</t>
        </is>
      </c>
      <c r="C1" s="1" t="inlineStr">
        <is>
          <t>Providers_EOY</t>
        </is>
      </c>
      <c r="D1" s="1" t="inlineStr">
        <is>
          <t>Providers_Avg</t>
        </is>
      </c>
      <c r="E1" s="1" t="inlineStr">
        <is>
          <t>Basic_Mix</t>
        </is>
      </c>
      <c r="F1" s="1" t="inlineStr">
        <is>
          <t>Pro_Mix</t>
        </is>
      </c>
      <c r="G1" s="1" t="inlineStr">
        <is>
          <t>Ent_Mix</t>
        </is>
      </c>
      <c r="H1" s="1" t="inlineStr">
        <is>
          <t>Basic_Price</t>
        </is>
      </c>
      <c r="I1" s="1" t="inlineStr">
        <is>
          <t>Pro_Price</t>
        </is>
      </c>
      <c r="J1" s="1" t="inlineStr">
        <is>
          <t>Ent_Price</t>
        </is>
      </c>
      <c r="K1" s="1" t="inlineStr">
        <is>
          <t>Blended_ARPU</t>
        </is>
      </c>
      <c r="L1" s="1" t="inlineStr">
        <is>
          <t>Sub_Revenue</t>
        </is>
      </c>
      <c r="M1" s="1" t="inlineStr">
        <is>
          <t>Impl_Fee</t>
        </is>
      </c>
      <c r="N1" s="1" t="inlineStr">
        <is>
          <t>Impl_Revenue</t>
        </is>
      </c>
      <c r="O1" s="1" t="inlineStr">
        <is>
          <t>Total_Revenue</t>
        </is>
      </c>
    </row>
    <row r="2">
      <c r="A2" t="inlineStr">
        <is>
          <t>Y1</t>
        </is>
      </c>
      <c r="B2" s="2" t="n">
        <v>22</v>
      </c>
      <c r="C2" s="2" t="n">
        <v>90</v>
      </c>
      <c r="D2" s="2" t="n">
        <v>70</v>
      </c>
      <c r="E2" s="2" t="n">
        <v>0.6</v>
      </c>
      <c r="F2" s="2" t="n">
        <v>0.35</v>
      </c>
      <c r="G2" s="2" t="n">
        <v>0.05</v>
      </c>
      <c r="H2" s="2" t="n">
        <v>199</v>
      </c>
      <c r="I2" s="2" t="n">
        <v>299</v>
      </c>
      <c r="J2" s="2" t="n">
        <v>399</v>
      </c>
      <c r="K2">
        <f>E2*H2+F2*I2+G2*J2</f>
        <v/>
      </c>
      <c r="L2">
        <f>D2*K2*12</f>
        <v/>
      </c>
      <c r="M2" s="2" t="n">
        <v>1500</v>
      </c>
      <c r="N2">
        <f>B2*M2</f>
        <v/>
      </c>
      <c r="O2">
        <f>L2+N2</f>
        <v/>
      </c>
    </row>
    <row r="3">
      <c r="A3" t="inlineStr">
        <is>
          <t>Y2</t>
        </is>
      </c>
      <c r="B3" s="2" t="n">
        <v>76</v>
      </c>
      <c r="C3" s="2" t="n">
        <v>320</v>
      </c>
      <c r="D3" s="2" t="n">
        <v>260</v>
      </c>
      <c r="E3" s="2" t="n">
        <v>0.5</v>
      </c>
      <c r="F3" s="2" t="n">
        <v>0.4</v>
      </c>
      <c r="G3" s="2" t="n">
        <v>0.1</v>
      </c>
      <c r="H3" s="2" t="n">
        <v>199</v>
      </c>
      <c r="I3" s="2" t="n">
        <v>299</v>
      </c>
      <c r="J3" s="2" t="n">
        <v>399</v>
      </c>
      <c r="K3">
        <f>E3*H3+F3*I3+G3*J3</f>
        <v/>
      </c>
      <c r="L3">
        <f>D3*K3*12</f>
        <v/>
      </c>
      <c r="M3" s="2" t="n">
        <v>1500</v>
      </c>
      <c r="N3">
        <f>B3*M3</f>
        <v/>
      </c>
      <c r="O3">
        <f>L3+N3</f>
        <v/>
      </c>
    </row>
    <row r="4">
      <c r="A4" t="inlineStr">
        <is>
          <t>Y3</t>
        </is>
      </c>
      <c r="B4" s="2" t="n">
        <v>214</v>
      </c>
      <c r="C4" s="2" t="n">
        <v>900</v>
      </c>
      <c r="D4" s="2" t="n">
        <v>760</v>
      </c>
      <c r="E4" s="2" t="n">
        <v>0.4</v>
      </c>
      <c r="F4" s="2" t="n">
        <v>0.45</v>
      </c>
      <c r="G4" s="2" t="n">
        <v>0.15</v>
      </c>
      <c r="H4" s="2" t="n">
        <v>199</v>
      </c>
      <c r="I4" s="2" t="n">
        <v>299</v>
      </c>
      <c r="J4" s="2" t="n">
        <v>399</v>
      </c>
      <c r="K4">
        <f>E4*H4+F4*I4+G4*J4</f>
        <v/>
      </c>
      <c r="L4">
        <f>D4*K4*12</f>
        <v/>
      </c>
      <c r="M4" s="2" t="n">
        <v>2000</v>
      </c>
      <c r="N4">
        <f>B4*M4</f>
        <v/>
      </c>
      <c r="O4">
        <f>L4+N4</f>
        <v/>
      </c>
    </row>
    <row r="5">
      <c r="A5" t="inlineStr">
        <is>
          <t>Y4</t>
        </is>
      </c>
      <c r="B5" s="2" t="n">
        <v>500</v>
      </c>
      <c r="C5" s="2" t="n">
        <v>2100</v>
      </c>
      <c r="D5" s="2" t="n">
        <v>1850</v>
      </c>
      <c r="E5" s="2" t="n">
        <v>0.32</v>
      </c>
      <c r="F5" s="2" t="n">
        <v>0.48</v>
      </c>
      <c r="G5" s="2" t="n">
        <v>0.2</v>
      </c>
      <c r="H5" s="2" t="n">
        <v>199</v>
      </c>
      <c r="I5" s="2" t="n">
        <v>299</v>
      </c>
      <c r="J5" s="2" t="n">
        <v>399</v>
      </c>
      <c r="K5">
        <f>E5*H5+F5*I5+G5*J5</f>
        <v/>
      </c>
      <c r="L5">
        <f>D5*K5*12</f>
        <v/>
      </c>
      <c r="M5" s="2" t="n">
        <v>2000</v>
      </c>
      <c r="N5">
        <f>B5*M5</f>
        <v/>
      </c>
      <c r="O5">
        <f>L5+N5</f>
        <v/>
      </c>
    </row>
    <row r="6">
      <c r="A6" t="inlineStr">
        <is>
          <t>Y5</t>
        </is>
      </c>
      <c r="B6" s="2" t="n">
        <v>980</v>
      </c>
      <c r="C6" s="2" t="n">
        <v>4200</v>
      </c>
      <c r="D6" s="2" t="n">
        <v>3700</v>
      </c>
      <c r="E6" s="2" t="n">
        <v>0.25</v>
      </c>
      <c r="F6" s="2" t="n">
        <v>0.5</v>
      </c>
      <c r="G6" s="2" t="n">
        <v>0.25</v>
      </c>
      <c r="H6" s="2" t="n">
        <v>199</v>
      </c>
      <c r="I6" s="2" t="n">
        <v>299</v>
      </c>
      <c r="J6" s="2" t="n">
        <v>399</v>
      </c>
      <c r="K6">
        <f>E6*H6+F6*I6+G6*J6</f>
        <v/>
      </c>
      <c r="L6">
        <f>D6*K6*12</f>
        <v/>
      </c>
      <c r="M6" s="2" t="n">
        <v>2000</v>
      </c>
      <c r="N6">
        <f>B6*M6</f>
        <v/>
      </c>
      <c r="O6">
        <f>L6+N6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Component</t>
        </is>
      </c>
      <c r="B1" s="1" t="inlineStr">
        <is>
          <t>Cost_per_provider_per_month</t>
        </is>
      </c>
    </row>
    <row r="2">
      <c r="A2" t="inlineStr">
        <is>
          <t>LLM inference + summarization</t>
        </is>
      </c>
      <c r="B2" s="2" t="n">
        <v>24</v>
      </c>
    </row>
    <row r="3">
      <c r="A3" t="inlineStr">
        <is>
          <t>Cloud hosting + networking</t>
        </is>
      </c>
      <c r="B3" s="2" t="n">
        <v>11</v>
      </c>
    </row>
    <row r="4">
      <c r="A4" t="inlineStr">
        <is>
          <t>Storage + logging</t>
        </is>
      </c>
      <c r="B4" s="2" t="n">
        <v>5</v>
      </c>
    </row>
    <row r="5">
      <c r="A5" t="inlineStr">
        <is>
          <t>Support + implementation servicing</t>
        </is>
      </c>
      <c r="B5" s="2" t="n">
        <v>8</v>
      </c>
    </row>
    <row r="6">
      <c r="A6" t="inlineStr">
        <is>
          <t>Payment processing + marketplace fees</t>
        </is>
      </c>
      <c r="B6" s="2" t="n">
        <v>6</v>
      </c>
    </row>
    <row r="7">
      <c r="A7" t="inlineStr">
        <is>
          <t>Total COGS per provider/month</t>
        </is>
      </c>
      <c r="B7">
        <f>SUM(B2:B6)</f>
        <v/>
      </c>
    </row>
    <row r="8"/>
    <row r="9">
      <c r="A9" s="1" t="inlineStr">
        <is>
          <t>Year</t>
        </is>
      </c>
      <c r="B9" s="1" t="inlineStr">
        <is>
          <t>Avg_Providers</t>
        </is>
      </c>
      <c r="C9" s="1" t="inlineStr">
        <is>
          <t>Revenue</t>
        </is>
      </c>
      <c r="D9" s="1" t="inlineStr">
        <is>
          <t>COGS</t>
        </is>
      </c>
      <c r="E9" s="1" t="inlineStr">
        <is>
          <t>Gross_Profit</t>
        </is>
      </c>
      <c r="F9" s="1" t="inlineStr">
        <is>
          <t>Gross_Margin</t>
        </is>
      </c>
    </row>
    <row r="10">
      <c r="A10" t="inlineStr">
        <is>
          <t>Y1</t>
        </is>
      </c>
      <c r="B10">
        <f>Growth_Pricing!D2</f>
        <v/>
      </c>
      <c r="C10">
        <f>Growth_Pricing!O2</f>
        <v/>
      </c>
      <c r="D10">
        <f>B10*$B$7*12</f>
        <v/>
      </c>
      <c r="E10">
        <f>C10-D10</f>
        <v/>
      </c>
      <c r="F10">
        <f>E10/C10</f>
        <v/>
      </c>
    </row>
    <row r="11">
      <c r="A11" t="inlineStr">
        <is>
          <t>Y2</t>
        </is>
      </c>
      <c r="B11">
        <f>Growth_Pricing!D3</f>
        <v/>
      </c>
      <c r="C11">
        <f>Growth_Pricing!O3</f>
        <v/>
      </c>
      <c r="D11">
        <f>B11*$B$7*12</f>
        <v/>
      </c>
      <c r="E11">
        <f>C11-D11</f>
        <v/>
      </c>
      <c r="F11">
        <f>E11/C11</f>
        <v/>
      </c>
    </row>
    <row r="12">
      <c r="A12" t="inlineStr">
        <is>
          <t>Y3</t>
        </is>
      </c>
      <c r="B12">
        <f>Growth_Pricing!D4</f>
        <v/>
      </c>
      <c r="C12">
        <f>Growth_Pricing!O4</f>
        <v/>
      </c>
      <c r="D12">
        <f>B12*$B$7*12</f>
        <v/>
      </c>
      <c r="E12">
        <f>C12-D12</f>
        <v/>
      </c>
      <c r="F12">
        <f>E12/C12</f>
        <v/>
      </c>
    </row>
    <row r="13">
      <c r="A13" t="inlineStr">
        <is>
          <t>Y4</t>
        </is>
      </c>
      <c r="B13">
        <f>Growth_Pricing!D5</f>
        <v/>
      </c>
      <c r="C13">
        <f>Growth_Pricing!O5</f>
        <v/>
      </c>
      <c r="D13">
        <f>B13*$B$7*12</f>
        <v/>
      </c>
      <c r="E13">
        <f>C13-D13</f>
        <v/>
      </c>
      <c r="F13">
        <f>E13/C13</f>
        <v/>
      </c>
    </row>
    <row r="14">
      <c r="A14" t="inlineStr">
        <is>
          <t>Y5</t>
        </is>
      </c>
      <c r="B14">
        <f>Growth_Pricing!D6</f>
        <v/>
      </c>
      <c r="C14">
        <f>Growth_Pricing!O6</f>
        <v/>
      </c>
      <c r="D14">
        <f>B14*$B$7*12</f>
        <v/>
      </c>
      <c r="E14">
        <f>C14-D14</f>
        <v/>
      </c>
      <c r="F14">
        <f>E14/C14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Role</t>
        </is>
      </c>
      <c r="B1" s="1" t="inlineStr">
        <is>
          <t>Salary</t>
        </is>
      </c>
      <c r="C1" s="1" t="inlineStr">
        <is>
          <t>Y1</t>
        </is>
      </c>
      <c r="D1" s="1" t="inlineStr">
        <is>
          <t>Y2</t>
        </is>
      </c>
      <c r="E1" s="1" t="inlineStr">
        <is>
          <t>Y3</t>
        </is>
      </c>
      <c r="F1" s="1" t="inlineStr">
        <is>
          <t>Y4</t>
        </is>
      </c>
      <c r="G1" s="1" t="inlineStr">
        <is>
          <t>Y5</t>
        </is>
      </c>
      <c r="H1" s="1" t="inlineStr">
        <is>
          <t>Year5_Annual_Cost</t>
        </is>
      </c>
    </row>
    <row r="2">
      <c r="A2" t="inlineStr">
        <is>
          <t>Leadership/Ops</t>
        </is>
      </c>
      <c r="B2" s="2" t="n">
        <v>180000</v>
      </c>
      <c r="C2" s="2" t="n">
        <v>2</v>
      </c>
      <c r="D2" s="2" t="n">
        <v>2</v>
      </c>
      <c r="E2" s="2" t="n">
        <v>2</v>
      </c>
      <c r="F2" s="2" t="n">
        <v>2</v>
      </c>
      <c r="G2" s="2" t="n">
        <v>2</v>
      </c>
      <c r="H2">
        <f>B2*G2</f>
        <v/>
      </c>
    </row>
    <row r="3">
      <c r="A3" t="inlineStr">
        <is>
          <t>Backend/Platform Engineer</t>
        </is>
      </c>
      <c r="B3" s="2" t="n">
        <v>135000</v>
      </c>
      <c r="C3" s="2" t="n">
        <v>2</v>
      </c>
      <c r="D3" s="2" t="n">
        <v>2</v>
      </c>
      <c r="E3" s="2" t="n">
        <v>5</v>
      </c>
      <c r="F3" s="2" t="n">
        <v>6</v>
      </c>
      <c r="G3" s="2" t="n">
        <v>7</v>
      </c>
      <c r="H3">
        <f>B3*G3</f>
        <v/>
      </c>
    </row>
    <row r="4">
      <c r="A4" t="inlineStr">
        <is>
          <t>ML Engineer</t>
        </is>
      </c>
      <c r="B4" s="2" t="n">
        <v>145000</v>
      </c>
      <c r="C4" s="2" t="n">
        <v>1</v>
      </c>
      <c r="D4" s="2" t="n">
        <v>2</v>
      </c>
      <c r="E4" s="2" t="n">
        <v>3</v>
      </c>
      <c r="F4" s="2" t="n">
        <v>3</v>
      </c>
      <c r="G4" s="2" t="n">
        <v>4</v>
      </c>
      <c r="H4">
        <f>B4*G4</f>
        <v/>
      </c>
    </row>
    <row r="5">
      <c r="A5" t="inlineStr">
        <is>
          <t>Clinical AI Specialist</t>
        </is>
      </c>
      <c r="B5" s="2" t="n">
        <v>125000</v>
      </c>
      <c r="C5" s="2" t="n">
        <v>1</v>
      </c>
      <c r="D5" s="2" t="n">
        <v>1</v>
      </c>
      <c r="E5" s="2" t="n">
        <v>1</v>
      </c>
      <c r="F5" s="2" t="n">
        <v>2</v>
      </c>
      <c r="G5" s="2" t="n">
        <v>2</v>
      </c>
      <c r="H5">
        <f>B5*G5</f>
        <v/>
      </c>
    </row>
    <row r="6">
      <c r="A6" t="inlineStr">
        <is>
          <t>Product Manager</t>
        </is>
      </c>
      <c r="B6" s="2" t="n">
        <v>140000</v>
      </c>
      <c r="C6" s="2" t="n">
        <v>0</v>
      </c>
      <c r="D6" s="2" t="n">
        <v>1</v>
      </c>
      <c r="E6" s="2" t="n">
        <v>1</v>
      </c>
      <c r="F6" s="2" t="n">
        <v>2</v>
      </c>
      <c r="G6" s="2" t="n">
        <v>3</v>
      </c>
      <c r="H6">
        <f>B6*G6</f>
        <v/>
      </c>
    </row>
    <row r="7">
      <c r="A7" t="inlineStr">
        <is>
          <t>Compliance/Privacy Officer</t>
        </is>
      </c>
      <c r="B7" s="2" t="n">
        <v>120000</v>
      </c>
      <c r="C7" s="2" t="n">
        <v>0</v>
      </c>
      <c r="D7" s="2" t="n">
        <v>1</v>
      </c>
      <c r="E7" s="2" t="n">
        <v>1</v>
      </c>
      <c r="F7" s="2" t="n">
        <v>1</v>
      </c>
      <c r="G7" s="2" t="n">
        <v>2</v>
      </c>
      <c r="H7">
        <f>B7*G7</f>
        <v/>
      </c>
    </row>
    <row r="8">
      <c r="A8" t="inlineStr">
        <is>
          <t>Sales/Partnerships (OTE)</t>
        </is>
      </c>
      <c r="B8" s="2" t="n">
        <v>130000</v>
      </c>
      <c r="C8" s="2" t="n">
        <v>0</v>
      </c>
      <c r="D8" s="2" t="n">
        <v>0</v>
      </c>
      <c r="E8" s="2" t="n">
        <v>1</v>
      </c>
      <c r="F8" s="2" t="n">
        <v>3</v>
      </c>
      <c r="G8" s="2" t="n">
        <v>6</v>
      </c>
      <c r="H8">
        <f>B8*G8</f>
        <v/>
      </c>
    </row>
    <row r="9">
      <c r="A9" t="inlineStr">
        <is>
          <t>Customer Success/Implementation</t>
        </is>
      </c>
      <c r="B9" s="2" t="n">
        <v>95000</v>
      </c>
      <c r="C9" s="2" t="n">
        <v>0</v>
      </c>
      <c r="D9" s="2" t="n">
        <v>1</v>
      </c>
      <c r="E9" s="2" t="n">
        <v>2</v>
      </c>
      <c r="F9" s="2" t="n">
        <v>5</v>
      </c>
      <c r="G9" s="2" t="n">
        <v>7</v>
      </c>
      <c r="H9">
        <f>B9*G9</f>
        <v/>
      </c>
    </row>
    <row r="10"/>
    <row r="11">
      <c r="A11" s="1" t="inlineStr">
        <is>
          <t>Metric</t>
        </is>
      </c>
      <c r="B11" s="1" t="inlineStr">
        <is>
          <t>Y1</t>
        </is>
      </c>
      <c r="C11" s="1" t="inlineStr">
        <is>
          <t>Y2</t>
        </is>
      </c>
      <c r="D11" s="1" t="inlineStr">
        <is>
          <t>Y3</t>
        </is>
      </c>
      <c r="E11" s="1" t="inlineStr">
        <is>
          <t>Y4</t>
        </is>
      </c>
      <c r="F11" s="1" t="inlineStr">
        <is>
          <t>Y5</t>
        </is>
      </c>
    </row>
    <row r="12">
      <c r="A12" t="inlineStr">
        <is>
          <t>Total FTE</t>
        </is>
      </c>
      <c r="B12">
        <f>SUM(C2:C9)</f>
        <v/>
      </c>
      <c r="C12">
        <f>SUM(D2:D9)</f>
        <v/>
      </c>
      <c r="D12">
        <f>SUM(E2:E9)</f>
        <v/>
      </c>
      <c r="E12">
        <f>SUM(F2:F9)</f>
        <v/>
      </c>
      <c r="F12">
        <f>SUM(G2:G9)</f>
        <v/>
      </c>
    </row>
    <row r="13">
      <c r="A13" t="inlineStr">
        <is>
          <t>Base Payroll</t>
        </is>
      </c>
      <c r="B13">
        <f>SUMPRODUCT(B2:B9,C2:C9)</f>
        <v/>
      </c>
      <c r="C13">
        <f>SUMPRODUCT(B2:B9,D2:D9)</f>
        <v/>
      </c>
      <c r="D13">
        <f>SUMPRODUCT(B2:B9,E2:E9)</f>
        <v/>
      </c>
      <c r="E13">
        <f>SUMPRODUCT(B2:B9,F2:F9)</f>
        <v/>
      </c>
      <c r="F13">
        <f>SUMPRODUCT(B2:B9,G2:G9)</f>
        <v/>
      </c>
    </row>
    <row r="14">
      <c r="A14" t="inlineStr">
        <is>
          <t>Payroll w/18% burden</t>
        </is>
      </c>
      <c r="B14">
        <f>B12*1.18</f>
        <v/>
      </c>
      <c r="C14">
        <f>C12*1.18</f>
        <v/>
      </c>
      <c r="D14">
        <f>D12*1.18</f>
        <v/>
      </c>
      <c r="E14">
        <f>E12*1.18</f>
        <v/>
      </c>
      <c r="F14">
        <f>F12*1.18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Category</t>
        </is>
      </c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Y4</t>
        </is>
      </c>
      <c r="F1" s="1" t="inlineStr">
        <is>
          <t>Y5</t>
        </is>
      </c>
    </row>
    <row r="2">
      <c r="A2" t="inlineStr">
        <is>
          <t>Marketing and demand generation</t>
        </is>
      </c>
      <c r="B2" s="2" t="n">
        <v>180000</v>
      </c>
      <c r="C2" s="2" t="n">
        <v>320000</v>
      </c>
      <c r="D2" s="2" t="n">
        <v>700000</v>
      </c>
      <c r="E2" s="2" t="n">
        <v>1400000</v>
      </c>
      <c r="F2" s="2" t="n">
        <v>2700000</v>
      </c>
    </row>
    <row r="3">
      <c r="A3" t="inlineStr">
        <is>
          <t>Legal and compliance</t>
        </is>
      </c>
      <c r="B3" s="2" t="n">
        <v>60000</v>
      </c>
      <c r="C3" s="2" t="n">
        <v>80000</v>
      </c>
      <c r="D3" s="2" t="n">
        <v>110000</v>
      </c>
      <c r="E3" s="2" t="n">
        <v>170000</v>
      </c>
      <c r="F3" s="2" t="n">
        <v>250000</v>
      </c>
    </row>
    <row r="4">
      <c r="A4" t="inlineStr">
        <is>
          <t>Conferences and travel</t>
        </is>
      </c>
      <c r="B4" s="2" t="n">
        <v>20000</v>
      </c>
      <c r="C4" s="2" t="n">
        <v>40000</v>
      </c>
      <c r="D4" s="2" t="n">
        <v>70000</v>
      </c>
      <c r="E4" s="2" t="n">
        <v>120000</v>
      </c>
      <c r="F4" s="2" t="n">
        <v>180000</v>
      </c>
    </row>
    <row r="5">
      <c r="A5" t="inlineStr">
        <is>
          <t>SaaS tools and software ops</t>
        </is>
      </c>
      <c r="B5" s="2" t="n">
        <v>45000</v>
      </c>
      <c r="C5" s="2" t="n">
        <v>65000</v>
      </c>
      <c r="D5" s="2" t="n">
        <v>95000</v>
      </c>
      <c r="E5" s="2" t="n">
        <v>140000</v>
      </c>
      <c r="F5" s="2" t="n">
        <v>190000</v>
      </c>
    </row>
    <row r="6">
      <c r="A6" t="inlineStr">
        <is>
          <t>Infrastructure overhead (non-COGS)</t>
        </is>
      </c>
      <c r="B6" s="2" t="n">
        <v>40000</v>
      </c>
      <c r="C6" s="2" t="n">
        <v>55000</v>
      </c>
      <c r="D6" s="2" t="n">
        <v>85000</v>
      </c>
      <c r="E6" s="2" t="n">
        <v>130000</v>
      </c>
      <c r="F6" s="2" t="n">
        <v>180000</v>
      </c>
    </row>
    <row r="7">
      <c r="A7" t="inlineStr">
        <is>
          <t>Insurance and admin overhead</t>
        </is>
      </c>
      <c r="B7" s="2" t="n">
        <v>23000</v>
      </c>
      <c r="C7" s="2" t="n">
        <v>30000</v>
      </c>
      <c r="D7" s="2" t="n">
        <v>45000</v>
      </c>
      <c r="E7" s="2" t="n">
        <v>70000</v>
      </c>
      <c r="F7" s="2" t="n">
        <v>95000</v>
      </c>
    </row>
    <row r="8">
      <c r="A8" t="inlineStr">
        <is>
          <t>Total non-payroll Opex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Y4</t>
        </is>
      </c>
      <c r="F1" s="1" t="inlineStr">
        <is>
          <t>Y5</t>
        </is>
      </c>
    </row>
    <row r="2">
      <c r="A2" t="inlineStr">
        <is>
          <t>Revenue</t>
        </is>
      </c>
      <c r="B2">
        <f>Growth_Pricing!O2</f>
        <v/>
      </c>
      <c r="C2">
        <f>Growth_Pricing!O3</f>
        <v/>
      </c>
      <c r="D2">
        <f>Growth_Pricing!O4</f>
        <v/>
      </c>
      <c r="E2">
        <f>Growth_Pricing!O5</f>
        <v/>
      </c>
      <c r="F2">
        <f>Growth_Pricing!O6</f>
        <v/>
      </c>
    </row>
    <row r="3">
      <c r="A3" t="inlineStr">
        <is>
          <t>COGS</t>
        </is>
      </c>
      <c r="B3">
        <f>COGS!D10</f>
        <v/>
      </c>
      <c r="C3">
        <f>COGS!D11</f>
        <v/>
      </c>
      <c r="D3">
        <f>COGS!D12</f>
        <v/>
      </c>
      <c r="E3">
        <f>COGS!D13</f>
        <v/>
      </c>
      <c r="F3">
        <f>COGS!D14</f>
        <v/>
      </c>
    </row>
    <row r="4">
      <c r="A4" t="inlineStr">
        <is>
          <t>Gross Profit</t>
        </is>
      </c>
      <c r="B4">
        <f>B2-B3</f>
        <v/>
      </c>
      <c r="C4">
        <f>C2-C3</f>
        <v/>
      </c>
      <c r="D4">
        <f>D2-D3</f>
        <v/>
      </c>
      <c r="E4">
        <f>E2-E3</f>
        <v/>
      </c>
      <c r="F4">
        <f>F2-F3</f>
        <v/>
      </c>
    </row>
    <row r="5">
      <c r="A5" t="inlineStr">
        <is>
          <t>Payroll SG&amp;A</t>
        </is>
      </c>
      <c r="B5">
        <f>Hiring!B13</f>
        <v/>
      </c>
      <c r="C5">
        <f>Hiring!C13</f>
        <v/>
      </c>
      <c r="D5">
        <f>Hiring!D13</f>
        <v/>
      </c>
      <c r="E5">
        <f>Hiring!E13</f>
        <v/>
      </c>
      <c r="F5">
        <f>Hiring!F13</f>
        <v/>
      </c>
    </row>
    <row r="6">
      <c r="A6" t="inlineStr">
        <is>
          <t>Non-Payroll Opex</t>
        </is>
      </c>
      <c r="B6">
        <f>Opex!B8</f>
        <v/>
      </c>
      <c r="C6">
        <f>Opex!C8</f>
        <v/>
      </c>
      <c r="D6">
        <f>Opex!D8</f>
        <v/>
      </c>
      <c r="E6">
        <f>Opex!E8</f>
        <v/>
      </c>
      <c r="F6">
        <f>Opex!F8</f>
        <v/>
      </c>
    </row>
    <row r="7">
      <c r="A7" t="inlineStr">
        <is>
          <t>Total SG&amp;A</t>
        </is>
      </c>
      <c r="B7">
        <f>B5+B6</f>
        <v/>
      </c>
      <c r="C7">
        <f>C5+C6</f>
        <v/>
      </c>
      <c r="D7">
        <f>D5+D6</f>
        <v/>
      </c>
      <c r="E7">
        <f>E5+E6</f>
        <v/>
      </c>
      <c r="F7">
        <f>F5+F6</f>
        <v/>
      </c>
    </row>
    <row r="8">
      <c r="A8" t="inlineStr">
        <is>
          <t>EBITDA</t>
        </is>
      </c>
      <c r="B8">
        <f>B4-B7</f>
        <v/>
      </c>
      <c r="C8">
        <f>C4-C7</f>
        <v/>
      </c>
      <c r="D8">
        <f>D4-D7</f>
        <v/>
      </c>
      <c r="E8">
        <f>E4-E7</f>
        <v/>
      </c>
      <c r="F8">
        <f>F4-F7</f>
        <v/>
      </c>
    </row>
    <row r="9">
      <c r="A9" t="inlineStr">
        <is>
          <t>EBITDA Margin</t>
        </is>
      </c>
      <c r="B9">
        <f>B8/B2</f>
        <v/>
      </c>
      <c r="C9">
        <f>C8/C2</f>
        <v/>
      </c>
      <c r="D9">
        <f>D8/D2</f>
        <v/>
      </c>
      <c r="E9">
        <f>E8/E2</f>
        <v/>
      </c>
      <c r="F9">
        <f>F8/F2</f>
        <v/>
      </c>
    </row>
    <row r="10">
      <c r="A10" t="inlineStr">
        <is>
          <t>Capex</t>
        </is>
      </c>
      <c r="B10" s="2" t="n">
        <v>180000</v>
      </c>
      <c r="C10" s="2" t="n">
        <v>220000</v>
      </c>
      <c r="D10" s="2" t="n">
        <v>280000</v>
      </c>
      <c r="E10" s="2" t="n">
        <v>350000</v>
      </c>
      <c r="F10" s="2" t="n">
        <v>420000</v>
      </c>
    </row>
    <row r="11">
      <c r="A11" t="inlineStr">
        <is>
          <t>Net Cash Flow pre-financing</t>
        </is>
      </c>
      <c r="B11">
        <f>B8-B10</f>
        <v/>
      </c>
      <c r="C11">
        <f>C8-C10</f>
        <v/>
      </c>
      <c r="D11">
        <f>D8-D10</f>
        <v/>
      </c>
      <c r="E11">
        <f>E8-E10</f>
        <v/>
      </c>
      <c r="F11">
        <f>F8-F10</f>
        <v/>
      </c>
    </row>
    <row r="12">
      <c r="A12" t="inlineStr">
        <is>
          <t>Financing</t>
        </is>
      </c>
      <c r="B12" s="2" t="n">
        <v>1500000</v>
      </c>
      <c r="C12" s="2" t="n">
        <v>1800000</v>
      </c>
      <c r="D12" s="2" t="n">
        <v>2000000</v>
      </c>
      <c r="E12" s="2" t="n">
        <v>0</v>
      </c>
      <c r="F12" s="2" t="n">
        <v>0</v>
      </c>
    </row>
    <row r="13">
      <c r="A13" t="inlineStr">
        <is>
          <t>Ending Cash</t>
        </is>
      </c>
      <c r="B13">
        <f>200000+B11+B12</f>
        <v/>
      </c>
      <c r="C13">
        <f>B13+C11+C12</f>
        <v/>
      </c>
      <c r="D13">
        <f>C13+D11+D12</f>
        <v/>
      </c>
      <c r="E13">
        <f>D13+E11+E12</f>
        <v/>
      </c>
      <c r="F13">
        <f>E13+F11+F12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7" customWidth="1" min="4" max="4"/>
    <col width="10" customWidth="1" min="5" max="5"/>
    <col width="18" customWidth="1" min="6" max="6"/>
    <col width="15" customWidth="1" min="7" max="7"/>
  </cols>
  <sheetData>
    <row r="1">
      <c r="A1" s="1" t="inlineStr">
        <is>
          <t>Year</t>
        </is>
      </c>
      <c r="B1" s="1" t="inlineStr">
        <is>
          <t>New Providers</t>
        </is>
      </c>
      <c r="C1" s="1" t="inlineStr">
        <is>
          <t>Sales+Marketing Spend</t>
        </is>
      </c>
      <c r="D1" s="1" t="inlineStr">
        <is>
          <t>CAC per Provider</t>
        </is>
      </c>
      <c r="E1" s="1" t="inlineStr">
        <is>
          <t>ARPU</t>
        </is>
      </c>
      <c r="F1" s="1" t="inlineStr">
        <is>
          <t>Monthly GP/Provider</t>
        </is>
      </c>
      <c r="G1" s="1" t="inlineStr">
        <is>
          <t>Payback Months</t>
        </is>
      </c>
    </row>
    <row r="2">
      <c r="A2" t="inlineStr">
        <is>
          <t>Y1</t>
        </is>
      </c>
      <c r="B2" s="2" t="n">
        <v>90</v>
      </c>
      <c r="C2">
        <f>Opex!B2</f>
        <v/>
      </c>
      <c r="D2">
        <f>C2/B2</f>
        <v/>
      </c>
      <c r="E2">
        <f>Growth_Pricing!K2</f>
        <v/>
      </c>
      <c r="F2">
        <f>E2-COGS!$B$7</f>
        <v/>
      </c>
      <c r="G2">
        <f>D2/F2</f>
        <v/>
      </c>
    </row>
    <row r="3">
      <c r="A3" t="inlineStr">
        <is>
          <t>Y2</t>
        </is>
      </c>
      <c r="B3" s="2" t="n">
        <v>230</v>
      </c>
      <c r="C3">
        <f>Opex!C2</f>
        <v/>
      </c>
      <c r="D3">
        <f>C3/B3</f>
        <v/>
      </c>
      <c r="E3">
        <f>Growth_Pricing!K3</f>
        <v/>
      </c>
      <c r="F3">
        <f>E3-COGS!$B$7</f>
        <v/>
      </c>
      <c r="G3">
        <f>D3/F3</f>
        <v/>
      </c>
    </row>
    <row r="4">
      <c r="A4" t="inlineStr">
        <is>
          <t>Y3</t>
        </is>
      </c>
      <c r="B4" s="2" t="n">
        <v>580</v>
      </c>
      <c r="C4">
        <f>Opex!D2</f>
        <v/>
      </c>
      <c r="D4">
        <f>C4/B4</f>
        <v/>
      </c>
      <c r="E4">
        <f>Growth_Pricing!K4</f>
        <v/>
      </c>
      <c r="F4">
        <f>E4-COGS!$B$7</f>
        <v/>
      </c>
      <c r="G4">
        <f>D4/F4</f>
        <v/>
      </c>
    </row>
    <row r="5">
      <c r="A5" t="inlineStr">
        <is>
          <t>Y4</t>
        </is>
      </c>
      <c r="B5" s="2" t="n">
        <v>1200</v>
      </c>
      <c r="C5">
        <f>Opex!E2</f>
        <v/>
      </c>
      <c r="D5">
        <f>C5/B5</f>
        <v/>
      </c>
      <c r="E5">
        <f>Growth_Pricing!K5</f>
        <v/>
      </c>
      <c r="F5">
        <f>E5-COGS!$B$7</f>
        <v/>
      </c>
      <c r="G5">
        <f>D5/F5</f>
        <v/>
      </c>
    </row>
    <row r="6">
      <c r="A6" t="inlineStr">
        <is>
          <t>Y5</t>
        </is>
      </c>
      <c r="B6" s="2" t="n">
        <v>2100</v>
      </c>
      <c r="C6">
        <f>Opex!F2</f>
        <v/>
      </c>
      <c r="D6">
        <f>C6/B6</f>
        <v/>
      </c>
      <c r="E6">
        <f>Growth_Pricing!K6</f>
        <v/>
      </c>
      <c r="F6">
        <f>E6-COGS!$B$7</f>
        <v/>
      </c>
      <c r="G6">
        <f>D6/F6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</cols>
  <sheetData>
    <row r="1">
      <c r="A1" s="1" t="inlineStr">
        <is>
          <t>Template Section</t>
        </is>
      </c>
      <c r="B1" s="1" t="inlineStr">
        <is>
          <t>Model Input / Formula Source</t>
        </is>
      </c>
    </row>
    <row r="2">
      <c r="A2" t="inlineStr">
        <is>
          <t>Monthly price / ARPU assumptions</t>
        </is>
      </c>
      <c r="B2" t="inlineStr">
        <is>
          <t>Growth_Pricing!K2:K6</t>
        </is>
      </c>
    </row>
    <row r="3">
      <c r="A3" t="inlineStr">
        <is>
          <t>Subscriber growth assumptions</t>
        </is>
      </c>
      <c r="B3" t="inlineStr">
        <is>
          <t>Growth_Pricing!D2:D6</t>
        </is>
      </c>
    </row>
    <row r="4">
      <c r="A4" t="inlineStr">
        <is>
          <t>New subscribers</t>
        </is>
      </c>
      <c r="B4" t="inlineStr">
        <is>
          <t>CAC_Payback!B2:B6</t>
        </is>
      </c>
    </row>
    <row r="5">
      <c r="A5" t="inlineStr">
        <is>
          <t>Monthly churn</t>
        </is>
      </c>
      <c r="B5" t="inlineStr">
        <is>
          <t>Core_Assumptions!B4</t>
        </is>
      </c>
    </row>
    <row r="6">
      <c r="A6" t="inlineStr">
        <is>
          <t>COGS per subscriber</t>
        </is>
      </c>
      <c r="B6" t="inlineStr">
        <is>
          <t>COGS!B7</t>
        </is>
      </c>
    </row>
    <row r="7">
      <c r="A7" t="inlineStr">
        <is>
          <t>Marketing spend</t>
        </is>
      </c>
      <c r="B7" t="inlineStr">
        <is>
          <t>Opex!B2:F2</t>
        </is>
      </c>
    </row>
    <row r="8">
      <c r="A8" t="inlineStr">
        <is>
          <t>Payroll assumptions</t>
        </is>
      </c>
      <c r="B8" t="inlineStr">
        <is>
          <t>Hiring!A2:G9 and Hiring!B13:F13</t>
        </is>
      </c>
    </row>
    <row r="9">
      <c r="A9" t="inlineStr">
        <is>
          <t>Other SG&amp;A</t>
        </is>
      </c>
      <c r="B9" t="inlineStr">
        <is>
          <t>Opex!B8:F8</t>
        </is>
      </c>
    </row>
    <row r="10">
      <c r="A10" t="inlineStr">
        <is>
          <t>Revenue</t>
        </is>
      </c>
      <c r="B10" t="inlineStr">
        <is>
          <t>Financials!B2:F2</t>
        </is>
      </c>
    </row>
    <row r="11">
      <c r="A11" t="inlineStr">
        <is>
          <t>Gross margin</t>
        </is>
      </c>
      <c r="B11" t="inlineStr">
        <is>
          <t>COGS!F10:F14</t>
        </is>
      </c>
    </row>
    <row r="12">
      <c r="A12" t="inlineStr">
        <is>
          <t>EBITDA</t>
        </is>
      </c>
      <c r="B12" t="inlineStr">
        <is>
          <t>Financials!B8:F8</t>
        </is>
      </c>
    </row>
    <row r="13">
      <c r="A13" t="inlineStr">
        <is>
          <t>Cash flow and cash balance</t>
        </is>
      </c>
      <c r="B13" t="inlineStr">
        <is>
          <t>Financials!B11:F13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2026-03-13T22:19:05Z</dcterms:created>
  <dcterms:modified xsi:type="dcterms:W3CDTF">2026-03-13T22:19:05Z</dcterms:modified>
</cp:coreProperties>
</file>